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Tracke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<sst xmlns="http://schemas.openxmlformats.org/spreadsheetml/2006/main" count="39" uniqueCount="38">
  <si>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Company</t>
  </si>
  <si>
    <t xml:space="preserve">Role / Title</t>
  </si>
  <si>
    <t xml:space="preserve">Date Applied</t>
  </si>
  <si>
    <t xml:space="preserve">Status</t>
  </si>
  <si>
    <t xml:space="preserve">Job Posting Link</t>
  </si>
  <si>
    <t xml:space="preserve">Contact Person</t>
  </si>
  <si>
    <t xml:space="preserve">Contact Email</t>
  </si>
  <si>
    <t xml:space="preserve">Follow-Up Date</t>
  </si>
  <si>
    <t xml:space="preserve">Notes</t>
  </si>
  <si>
    <t xml:space="preserve">Summary</t>
  </si>
  <si>
    <t xml:space="preserve">Acme Cloud Co.</t>
  </si>
  <si>
    <t xml:space="preserve">Sales Development Representative</t>
  </si>
  <si>
    <t xml:space="preserve">2026-08-10</t>
  </si>
  <si>
    <t xml:space="preserve">Applied</t>
  </si>
  <si>
    <t xml:space="preserve">https://acmecloud.com/careers/sdr-1234</t>
  </si>
  <si>
    <t xml:space="preserve">Jordan Lee (Recruiter)</t>
  </si>
  <si>
    <t xml:space="preserve">jordan.lee@acmecloud.com</t>
  </si>
  <si>
    <t xml:space="preserve">2026-08-24</t>
  </si>
  <si>
    <t xml:space="preserve">Referred by a friend from Higher Levels cohort.</t>
  </si>
  <si>
    <t xml:space="preserve">Total Applications</t>
  </si>
  <si>
    <t xml:space="preserve">Not Yet Applied</t>
  </si>
  <si>
    <t xml:space="preserve">Phone Screen</t>
  </si>
  <si>
    <t xml:space="preserve">Interview</t>
  </si>
  <si>
    <t xml:space="preserve">Final Round</t>
  </si>
  <si>
    <t xml:space="preserve">Offer Received</t>
  </si>
  <si>
    <t xml:space="preserve">Rejected</t>
  </si>
  <si>
    <t xml:space="preserve">Withdrawn</t>
  </si>
  <si>
    <t xml:space="preserve">Yellow example row above shows the expected format. Edit any white cell below it — rows extend to 50, copy formatting down if you need more.</t>
  </si>
  <si>
    <t xml:space="preserve">The Career-Changer Job Search Tracker</t>
  </si>
  <si>
    <t xml:space="preserve">From The Warthens — thewarthens.com/tech</t>
  </si>
  <si>
    <t xml:space="preserve">How to use this:</t>
  </si>
  <si>
    <t xml:space="preserve">1. Go to the "Job Tracker" tab.</t>
  </si>
  <si>
    <t xml:space="preserve">2. The first data row (in gray italics) is an example — leave it as a reference or delete it.</t>
  </si>
  <si>
    <t xml:space="preserve">3. Add one row per application. Use the Status dropdown to keep it current as you move through the process.</t>
  </si>
  <si>
    <t xml:space="preserve">4. The Summary box (top right of the Job Tracker tab) updates automatically as you fill in the Status column.</t>
  </si>
  <si>
    <t xml:space="preserve">5. Set a Follow-Up Date for each application so you know when to check back in — most recruiters expect a polite follow-up after 1–2 weeks of silence.</t>
  </si>
  <si>
    <t xml:space="preserve">This file is yours. Make a copy, save it to your own Google Drive or computer, and edit it however fits your search.</t>
  </si>
  <si>
    <t xml:space="preserve">Need help figuring out which path to pursue? Take the free 2-minute career quiz with real, sourced 2026 pay data at thewarthens.com/tech.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</si>
</sst>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14161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4161F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sz val="10"/>
      <color rgb="FF14161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6"/>
      <color rgb="FF14161F"/>
      <name val="Arial"/>
      <family val="0"/>
      <charset val="1"/>
    </font>
    <font>
      <sz val="11"/>
      <color rgb="FF2563EB"/>
      <name val="Arial"/>
      <family val="0"/>
      <charset val="1"/>
    </font>
    <font>
      <sz val="10.5"/>
      <color rgb="FF14161F"/>
      <name val="Arial"/>
      <family val="0"/>
      <charset val="1"/>
    </font>
    <font>
      <b val="true"/>
      <sz val="11"/>
      <color rgb="FF1416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2A44"/>
        <bgColor rgb="FF1416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4161F"/>
      <rgbColor rgb="FF333300"/>
      <rgbColor rgb="FF993300"/>
      <rgbColor rgb="FF993366"/>
      <rgbColor rgb="FF333399"/>
      <rgbColor rgb="FF1D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</row>
    <row r="2" customFormat="false" ht="23.85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K2" s="4" t="s">
        <v>19</v>
      </c>
      <c r="L2" s="5" t="n">
        <f aca="false">COUNTA(A3:A50)</f>
        <v>0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K3" s="7" t="s">
        <v>20</v>
      </c>
      <c r="L3" s="5" t="n">
        <f aca="false">COUNTIF(D3:D50,"Not Yet Applied")</f>
        <v>0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K4" s="7" t="s">
        <v>13</v>
      </c>
      <c r="L4" s="5" t="n">
        <f aca="false">COUNTIF(D3:D50,"Applied")</f>
        <v>0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K5" s="7" t="s">
        <v>21</v>
      </c>
      <c r="L5" s="5" t="n">
        <f aca="false">COUNTIF(D3:D50,"Phone Screen")</f>
        <v>0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K6" s="7" t="s">
        <v>22</v>
      </c>
      <c r="L6" s="5" t="n">
        <f aca="false">COUNTIF(D3:D50,"Interview")</f>
        <v>0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K7" s="7" t="s">
        <v>23</v>
      </c>
      <c r="L7" s="5" t="n">
        <f aca="false">COUNTIF(D3:D50,"Final Round")</f>
        <v>0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K8" s="7" t="s">
        <v>24</v>
      </c>
      <c r="L8" s="5" t="n">
        <f aca="false">COUNTIF(D3:D50,"Offer Received")</f>
        <v>0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K9" s="7" t="s">
        <v>25</v>
      </c>
      <c r="L9" s="5" t="n">
        <f aca="false">COUNTIF(D3:D50,"Rejected")</f>
        <v>0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K10" s="7" t="s">
        <v>26</v>
      </c>
      <c r="L10" s="5" t="n">
        <f aca="false">COUNTIF(D3:D50,"Withdrawn")</f>
        <v>0</v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</row>
    <row r="53" customFormat="false" ht="15" hidden="false" customHeight="false" outlineLevel="0" collapsed="false">
      <c r="A53" s="8" t="s">
        <v>27</v>
      </c>
    </row>
  </sheetData>
  <dataValidations count="1">
    <dataValidation allowBlank="true" errorStyle="stop" operator="between" showDropDown="false" showErrorMessage="false" showInputMessage="false" sqref="D2:D50" type="list">
      <formula1>"Not Yet Applied,Applied,Phone Screen,Interview,Final Round,Offer Received,Rejected,Withdrawn"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9" t="s">
        <v>28</v>
      </c>
    </row>
    <row r="2" customFormat="false" ht="15" hidden="false" customHeight="false" outlineLevel="0" collapsed="false">
      <c r="A2" s="10" t="s">
        <v>29</v>
      </c>
    </row>
    <row r="3" customFormat="false" ht="15" hidden="false" customHeight="false" outlineLevel="0" collapsed="false">
      <c r="A3" s="11"/>
    </row>
    <row r="4" customFormat="false" ht="15" hidden="false" customHeight="false" outlineLevel="0" collapsed="false">
      <c r="A4" s="12" t="s">
        <v>30</v>
      </c>
    </row>
    <row r="5" customFormat="false" ht="15" hidden="false" customHeight="false" outlineLevel="0" collapsed="false">
      <c r="A5" s="11" t="s">
        <v>31</v>
      </c>
    </row>
    <row r="6" customFormat="false" ht="15" hidden="false" customHeight="false" outlineLevel="0" collapsed="false">
      <c r="A6" s="11" t="s">
        <v>32</v>
      </c>
    </row>
    <row r="7" customFormat="false" ht="25.35" hidden="false" customHeight="false" outlineLevel="0" collapsed="false">
      <c r="A7" s="11" t="s">
        <v>33</v>
      </c>
    </row>
    <row r="8" customFormat="false" ht="25.35" hidden="false" customHeight="false" outlineLevel="0" collapsed="false">
      <c r="A8" s="11" t="s">
        <v>34</v>
      </c>
    </row>
    <row r="9" customFormat="false" ht="25.35" hidden="false" customHeight="false" outlineLevel="0" collapsed="false">
      <c r="A9" s="11" t="s">
        <v>35</v>
      </c>
    </row>
    <row r="10" customFormat="false" ht="15" hidden="false" customHeight="false" outlineLevel="0" collapsed="false">
      <c r="A10" s="11"/>
    </row>
    <row r="11" customFormat="false" ht="25.35" hidden="false" customHeight="false" outlineLevel="0" collapsed="false">
      <c r="A11" s="11" t="s">
        <v>36</v>
      </c>
    </row>
    <row r="12" customFormat="false" ht="15" hidden="false" customHeight="false" outlineLevel="0" collapsed="false">
      <c r="A12" s="11"/>
    </row>
    <row r="13" customFormat="false" ht="25.35" hidden="false" customHeight="false" outlineLevel="0" collapsed="false">
      <c r="A13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2026-08-23T05:06:03Z</dcterms:created>
  <dc:creator>openpyxl</dc:creator>
  <dc:description/>
  <dc:language>en-US</dc:language>
  <cp:lastModifiedBy/>
  <dcterms:modified xsi:type="dcterms:W3CDTF">2026-08-23T05:06:03Z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